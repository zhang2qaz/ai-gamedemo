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颜色备货建议" sheetId="1" state="visible" r:id="rId3"/>
    <sheet name="颜色汇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9" authorId="0">
      <text>
        <r>
          <rPr>
            <sz val="10"/>
            <rFont val="WenQuanYi Zen Hei"/>
            <family val="2"/>
          </rPr>
          <t xml:space="preserve">原订单只给了冰吧 </t>
        </r>
        <r>
          <rPr>
            <sz val="10"/>
            <rFont val="Arial"/>
            <family val="2"/>
          </rPr>
          <t xml:space="preserve">B</t>
        </r>
        <r>
          <rPr>
            <sz val="10"/>
            <rFont val="WenQuanYi Zen Hei"/>
            <family val="2"/>
          </rPr>
          <t xml:space="preserve">款总数 </t>
        </r>
        <r>
          <rPr>
            <sz val="10"/>
            <rFont val="Arial"/>
            <family val="2"/>
          </rPr>
          <t xml:space="preserve">20 </t>
        </r>
        <r>
          <rPr>
            <sz val="10"/>
            <rFont val="WenQuanYi Zen Hei"/>
            <family val="2"/>
          </rPr>
          <t xml:space="preserve">台，未分颜色（用户提供）。</t>
        </r>
      </text>
    </comment>
  </commentList>
</comments>
</file>

<file path=xl/sharedStrings.xml><?xml version="1.0" encoding="utf-8"?>
<sst xmlns="http://schemas.openxmlformats.org/spreadsheetml/2006/main" count="113" uniqueCount="58">
  <si>
    <r>
      <rPr>
        <b val="true"/>
        <sz val="13"/>
        <color rgb="FF1F3864"/>
        <rFont val="Arial"/>
        <family val="0"/>
        <charset val="1"/>
      </rPr>
      <t xml:space="preserve">JUDE </t>
    </r>
    <r>
      <rPr>
        <b val="true"/>
        <sz val="13"/>
        <color rgb="FF1F3864"/>
        <rFont val="WenQuanYi Zen Hei"/>
        <family val="2"/>
      </rPr>
      <t xml:space="preserve">首批订单颜色备货建议</t>
    </r>
  </si>
  <si>
    <t xml:space="preserve">蓝字为可修改的输入数字，黑字为公式自动计算。单位：台。</t>
  </si>
  <si>
    <t xml:space="preserve">序号</t>
  </si>
  <si>
    <t xml:space="preserve">产品类型</t>
  </si>
  <si>
    <t xml:space="preserve">产品颜色</t>
  </si>
  <si>
    <t xml:space="preserve">整机编码</t>
  </si>
  <si>
    <t xml:space="preserve">原订单数量</t>
  </si>
  <si>
    <t xml:space="preserve">建议备货数量</t>
  </si>
  <si>
    <t xml:space="preserve">调整</t>
  </si>
  <si>
    <t xml:space="preserve">其中：亚马逊可卖</t>
  </si>
  <si>
    <r>
      <rPr>
        <b val="true"/>
        <sz val="10"/>
        <color rgb="FFFFFFFF"/>
        <rFont val="Arial"/>
        <family val="0"/>
        <charset val="1"/>
      </rPr>
      <t xml:space="preserve">Vine </t>
    </r>
    <r>
      <rPr>
        <b val="true"/>
        <sz val="10"/>
        <color rgb="FFFFFFFF"/>
        <rFont val="WenQuanYi Zen Hei"/>
        <family val="2"/>
      </rPr>
      <t xml:space="preserve">评价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</si>
  <si>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端样品</t>
    </r>
  </si>
  <si>
    <t xml:space="preserve">保修备件</t>
  </si>
  <si>
    <t xml:space="preserve">接受度判断</t>
  </si>
  <si>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冰箱</t>
    </r>
  </si>
  <si>
    <t xml:space="preserve">纽约绿</t>
  </si>
  <si>
    <t xml:space="preserve">40021458</t>
  </si>
  <si>
    <t xml:space="preserve">高：主推色，广告、评价、媒体集中</t>
  </si>
  <si>
    <t xml:space="preserve">牛油果</t>
  </si>
  <si>
    <t xml:space="preserve">中低：与纽约绿同为绿色，互相抢单</t>
  </si>
  <si>
    <t xml:space="preserve">敦煌橙</t>
  </si>
  <si>
    <t xml:space="preserve">40021459</t>
  </si>
  <si>
    <t xml:space="preserve">中低：点缀色，保底上架</t>
  </si>
  <si>
    <t xml:space="preserve">奶酪白</t>
  </si>
  <si>
    <t xml:space="preserve">40021255</t>
  </si>
  <si>
    <t xml:space="preserve">高：美国厨房接受面最广，零售商铺货首选</t>
  </si>
  <si>
    <r>
      <rPr>
        <b val="true"/>
        <sz val="10"/>
        <rFont val="Arial"/>
        <family val="0"/>
        <charset val="1"/>
      </rPr>
      <t xml:space="preserve">121</t>
    </r>
    <r>
      <rPr>
        <b val="true"/>
        <sz val="10"/>
        <rFont val="WenQuanYi Zen Hei"/>
        <family val="2"/>
      </rPr>
      <t xml:space="preserve">冰箱 小计</t>
    </r>
  </si>
  <si>
    <t xml:space="preserve">小计必须等于原订单</t>
  </si>
  <si>
    <r>
      <rPr>
        <sz val="10"/>
        <rFont val="WenQuanYi Zen Hei"/>
        <family val="2"/>
      </rPr>
      <t xml:space="preserve">冰吧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款</t>
    </r>
  </si>
  <si>
    <t xml:space="preserve">40021462</t>
  </si>
  <si>
    <t xml:space="preserve">40021463</t>
  </si>
  <si>
    <t xml:space="preserve">40021279</t>
  </si>
  <si>
    <r>
      <rPr>
        <b val="true"/>
        <sz val="10"/>
        <rFont val="WenQuanYi Zen Hei"/>
        <family val="2"/>
      </rPr>
      <t xml:space="preserve">冰吧 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款 小计</t>
    </r>
  </si>
  <si>
    <r>
      <rPr>
        <sz val="10"/>
        <rFont val="WenQuanYi Zen Hei"/>
        <family val="2"/>
      </rPr>
      <t xml:space="preserve">冰吧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款</t>
    </r>
  </si>
  <si>
    <t xml:space="preserve">高：主推色；首批只上两色</t>
  </si>
  <si>
    <t xml:space="preserve">首批不上，展台展示、收订单</t>
  </si>
  <si>
    <t xml:space="preserve">高：接受面最广；首批只上两色</t>
  </si>
  <si>
    <r>
      <rPr>
        <b val="true"/>
        <sz val="10"/>
        <rFont val="WenQuanYi Zen Hei"/>
        <family val="2"/>
      </rPr>
      <t xml:space="preserve">冰吧 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款 小计</t>
    </r>
  </si>
  <si>
    <t xml:space="preserve">红酒柜</t>
  </si>
  <si>
    <t xml:space="preserve">高：接受面最广，零售商铺货首选</t>
  </si>
  <si>
    <t xml:space="preserve">红酒柜 小计</t>
  </si>
  <si>
    <t xml:space="preserve">台面冰箱</t>
  </si>
  <si>
    <t xml:space="preserve">中低：点缀色；小件偏礼品，比大件好卖</t>
  </si>
  <si>
    <t xml:space="preserve">台面冰箱 小计</t>
  </si>
  <si>
    <t xml:space="preserve">订单总计</t>
  </si>
  <si>
    <t xml:space="preserve">说明</t>
  </si>
  <si>
    <r>
      <rPr>
        <sz val="9"/>
        <color rgb="FF404040"/>
        <rFont val="Arial"/>
        <family val="0"/>
        <charset val="1"/>
      </rPr>
      <t xml:space="preserve">1. </t>
    </r>
    <r>
      <rPr>
        <sz val="9"/>
        <color rgb="FF404040"/>
        <rFont val="WenQuanYi Zen Hei"/>
        <family val="2"/>
      </rPr>
      <t xml:space="preserve">原订单数量、整机编码来自 </t>
    </r>
    <r>
      <rPr>
        <sz val="9"/>
        <color rgb="FF404040"/>
        <rFont val="Arial"/>
        <family val="0"/>
        <charset val="1"/>
      </rPr>
      <t xml:space="preserve">A ONE </t>
    </r>
    <r>
      <rPr>
        <sz val="9"/>
        <color rgb="FF404040"/>
        <rFont val="WenQuanYi Zen Hei"/>
        <family val="2"/>
      </rPr>
      <t xml:space="preserve">订单数量拆分表，产品总数不变，只调整颜色分配。</t>
    </r>
  </si>
  <si>
    <r>
      <rPr>
        <sz val="9"/>
        <color rgb="FF404040"/>
        <rFont val="Arial"/>
        <family val="0"/>
        <charset val="1"/>
      </rPr>
      <t xml:space="preserve">2. </t>
    </r>
    <r>
      <rPr>
        <sz val="9"/>
        <color rgb="FF404040"/>
        <rFont val="WenQuanYi Zen Hei"/>
        <family val="2"/>
      </rPr>
      <t xml:space="preserve">用途拆分：建议备货 </t>
    </r>
    <r>
      <rPr>
        <sz val="9"/>
        <color rgb="FF404040"/>
        <rFont val="Arial"/>
        <family val="0"/>
        <charset val="1"/>
      </rPr>
      <t xml:space="preserve">= </t>
    </r>
    <r>
      <rPr>
        <sz val="9"/>
        <color rgb="FF404040"/>
        <rFont val="WenQuanYi Zen Hei"/>
        <family val="2"/>
      </rPr>
      <t xml:space="preserve">亚马逊可卖 </t>
    </r>
    <r>
      <rPr>
        <sz val="9"/>
        <color rgb="FF404040"/>
        <rFont val="Arial"/>
        <family val="0"/>
        <charset val="1"/>
      </rPr>
      <t xml:space="preserve">+ Vine </t>
    </r>
    <r>
      <rPr>
        <sz val="9"/>
        <color rgb="FF404040"/>
        <rFont val="WenQuanYi Zen Hei"/>
        <family val="2"/>
      </rPr>
      <t xml:space="preserve">评价 </t>
    </r>
    <r>
      <rPr>
        <sz val="9"/>
        <color rgb="FF404040"/>
        <rFont val="Arial"/>
        <family val="0"/>
        <charset val="1"/>
      </rPr>
      <t xml:space="preserve">+ B </t>
    </r>
    <r>
      <rPr>
        <sz val="9"/>
        <color rgb="FF404040"/>
        <rFont val="WenQuanYi Zen Hei"/>
        <family val="2"/>
      </rPr>
      <t xml:space="preserve">端样品 </t>
    </r>
    <r>
      <rPr>
        <sz val="9"/>
        <color rgb="FF404040"/>
        <rFont val="Arial"/>
        <family val="0"/>
        <charset val="1"/>
      </rPr>
      <t xml:space="preserve">+ </t>
    </r>
    <r>
      <rPr>
        <sz val="9"/>
        <color rgb="FF404040"/>
        <rFont val="WenQuanYi Zen Hei"/>
        <family val="2"/>
      </rPr>
      <t xml:space="preserve">保修备件。</t>
    </r>
    <r>
      <rPr>
        <sz val="9"/>
        <color rgb="FF404040"/>
        <rFont val="Arial"/>
        <family val="0"/>
        <charset val="1"/>
      </rPr>
      <t xml:space="preserve">Vine </t>
    </r>
    <r>
      <rPr>
        <sz val="9"/>
        <color rgb="FF404040"/>
        <rFont val="WenQuanYi Zen Hei"/>
        <family val="2"/>
      </rPr>
      <t xml:space="preserve">评价和样品集中在纽约绿、奶酪白，评价和买家图落在主推色上。</t>
    </r>
  </si>
  <si>
    <r>
      <rPr>
        <sz val="9"/>
        <color rgb="FF404040"/>
        <rFont val="Arial"/>
        <family val="0"/>
        <charset val="1"/>
      </rPr>
      <t xml:space="preserve">3. </t>
    </r>
    <r>
      <rPr>
        <sz val="9"/>
        <color rgb="FF404040"/>
        <rFont val="WenQuanYi Zen Hei"/>
        <family val="2"/>
      </rPr>
      <t xml:space="preserve">颜色比例：纽约绿约一半，奶酪白约三成，牛油果约一成，敦煌橙约 </t>
    </r>
    <r>
      <rPr>
        <sz val="9"/>
        <color rgb="FF404040"/>
        <rFont val="Arial"/>
        <family val="0"/>
        <charset val="1"/>
      </rPr>
      <t xml:space="preserve">8%</t>
    </r>
    <r>
      <rPr>
        <sz val="9"/>
        <color rgb="FF404040"/>
        <rFont val="WenQuanYi Zen Hei"/>
        <family val="2"/>
      </rPr>
      <t xml:space="preserve">；敦煌橙每款保底 </t>
    </r>
    <r>
      <rPr>
        <sz val="9"/>
        <color rgb="FF404040"/>
        <rFont val="Arial"/>
        <family val="0"/>
        <charset val="1"/>
      </rPr>
      <t xml:space="preserve">3 </t>
    </r>
    <r>
      <rPr>
        <sz val="9"/>
        <color rgb="FF404040"/>
        <rFont val="WenQuanYi Zen Hei"/>
        <family val="2"/>
      </rPr>
      <t xml:space="preserve">台，台面冰箱的牛油果、敦煌橙各 </t>
    </r>
    <r>
      <rPr>
        <sz val="9"/>
        <color rgb="FF404040"/>
        <rFont val="Arial"/>
        <family val="0"/>
        <charset val="1"/>
      </rPr>
      <t xml:space="preserve">5 </t>
    </r>
    <r>
      <rPr>
        <sz val="9"/>
        <color rgb="FF404040"/>
        <rFont val="WenQuanYi Zen Hei"/>
        <family val="2"/>
      </rPr>
      <t xml:space="preserve">台。</t>
    </r>
  </si>
  <si>
    <r>
      <rPr>
        <sz val="9"/>
        <color rgb="FF404040"/>
        <rFont val="Arial"/>
        <family val="0"/>
        <charset val="1"/>
      </rPr>
      <t xml:space="preserve">4. </t>
    </r>
    <r>
      <rPr>
        <sz val="9"/>
        <color rgb="FF404040"/>
        <rFont val="WenQuanYi Zen Hei"/>
        <family val="2"/>
      </rPr>
      <t xml:space="preserve">冰吧 </t>
    </r>
    <r>
      <rPr>
        <sz val="9"/>
        <color rgb="FF404040"/>
        <rFont val="Arial"/>
        <family val="0"/>
        <charset val="1"/>
      </rPr>
      <t xml:space="preserve">B</t>
    </r>
    <r>
      <rPr>
        <sz val="9"/>
        <color rgb="FF404040"/>
        <rFont val="WenQuanYi Zen Hei"/>
        <family val="2"/>
      </rPr>
      <t xml:space="preserve">款只有 </t>
    </r>
    <r>
      <rPr>
        <sz val="9"/>
        <color rgb="FF404040"/>
        <rFont val="Arial"/>
        <family val="0"/>
        <charset val="1"/>
      </rPr>
      <t xml:space="preserve">20 </t>
    </r>
    <r>
      <rPr>
        <sz val="9"/>
        <color rgb="FF404040"/>
        <rFont val="WenQuanYi Zen Hei"/>
        <family val="2"/>
      </rPr>
      <t xml:space="preserve">台，首批只上纽约绿和奶酪白，牛油果、敦煌橙只在展台展示、收订单。</t>
    </r>
  </si>
  <si>
    <r>
      <rPr>
        <sz val="9"/>
        <color rgb="FF404040"/>
        <rFont val="Arial"/>
        <family val="0"/>
        <charset val="1"/>
      </rPr>
      <t xml:space="preserve">5. </t>
    </r>
    <r>
      <rPr>
        <sz val="9"/>
        <color rgb="FF404040"/>
        <rFont val="WenQuanYi Zen Hei"/>
        <family val="2"/>
      </rPr>
      <t xml:space="preserve">首批亚马逊可卖 </t>
    </r>
    <r>
      <rPr>
        <sz val="9"/>
        <color rgb="FF404040"/>
        <rFont val="Arial"/>
        <family val="0"/>
        <charset val="1"/>
      </rPr>
      <t xml:space="preserve">126 </t>
    </r>
    <r>
      <rPr>
        <sz val="9"/>
        <color rgb="FF404040"/>
        <rFont val="WenQuanYi Zen Hei"/>
        <family val="2"/>
      </rPr>
      <t xml:space="preserve">台，按一季度 </t>
    </r>
    <r>
      <rPr>
        <sz val="9"/>
        <color rgb="FF404040"/>
        <rFont val="Arial"/>
        <family val="0"/>
        <charset val="1"/>
      </rPr>
      <t xml:space="preserve">150 </t>
    </r>
    <r>
      <rPr>
        <sz val="9"/>
        <color rgb="FF404040"/>
        <rFont val="WenQuanYi Zen Hei"/>
        <family val="2"/>
      </rPr>
      <t xml:space="preserve">台的节奏 </t>
    </r>
    <r>
      <rPr>
        <sz val="9"/>
        <color rgb="FF404040"/>
        <rFont val="Arial"/>
        <family val="0"/>
        <charset val="1"/>
      </rPr>
      <t xml:space="preserve">3 </t>
    </r>
    <r>
      <rPr>
        <sz val="9"/>
        <color rgb="FF404040"/>
        <rFont val="WenQuanYi Zen Hei"/>
        <family val="2"/>
      </rPr>
      <t xml:space="preserve">月上旬卖完。第二批建议 </t>
    </r>
    <r>
      <rPr>
        <sz val="9"/>
        <color rgb="FF404040"/>
        <rFont val="Arial"/>
        <family val="0"/>
        <charset val="1"/>
      </rPr>
      <t xml:space="preserve">1 </t>
    </r>
    <r>
      <rPr>
        <sz val="9"/>
        <color rgb="FF404040"/>
        <rFont val="WenQuanYi Zen Hei"/>
        <family val="2"/>
      </rPr>
      <t xml:space="preserve">月 </t>
    </r>
    <r>
      <rPr>
        <sz val="9"/>
        <color rgb="FF404040"/>
        <rFont val="Arial"/>
        <family val="0"/>
        <charset val="1"/>
      </rPr>
      <t xml:space="preserve">9 </t>
    </r>
    <r>
      <rPr>
        <sz val="9"/>
        <color rgb="FF404040"/>
        <rFont val="WenQuanYi Zen Hei"/>
        <family val="2"/>
      </rPr>
      <t xml:space="preserve">日（</t>
    </r>
    <r>
      <rPr>
        <sz val="9"/>
        <color rgb="FF404040"/>
        <rFont val="Arial"/>
        <family val="0"/>
        <charset val="1"/>
      </rPr>
      <t xml:space="preserve">CES </t>
    </r>
    <r>
      <rPr>
        <sz val="9"/>
        <color rgb="FF404040"/>
        <rFont val="WenQuanYi Zen Hei"/>
        <family val="2"/>
      </rPr>
      <t xml:space="preserve">最后一天）下单，纽约绿和奶酪白合计占八成以上。</t>
    </r>
  </si>
  <si>
    <r>
      <rPr>
        <sz val="9"/>
        <color rgb="FF404040"/>
        <rFont val="Arial"/>
        <family val="0"/>
        <charset val="1"/>
      </rPr>
      <t xml:space="preserve">6. CES </t>
    </r>
    <r>
      <rPr>
        <sz val="9"/>
        <color rgb="FF404040"/>
        <rFont val="WenQuanYi Zen Hei"/>
        <family val="2"/>
      </rPr>
      <t xml:space="preserve">约 </t>
    </r>
    <r>
      <rPr>
        <sz val="9"/>
        <color rgb="FF404040"/>
        <rFont val="Arial"/>
        <family val="0"/>
        <charset val="1"/>
      </rPr>
      <t xml:space="preserve">14 </t>
    </r>
    <r>
      <rPr>
        <sz val="9"/>
        <color rgb="FF404040"/>
        <rFont val="WenQuanYi Zen Hei"/>
        <family val="2"/>
      </rPr>
      <t xml:space="preserve">台能通电的展品撤展后可转作 </t>
    </r>
    <r>
      <rPr>
        <sz val="9"/>
        <color rgb="FF404040"/>
        <rFont val="Arial"/>
        <family val="0"/>
        <charset val="1"/>
      </rPr>
      <t xml:space="preserve">B </t>
    </r>
    <r>
      <rPr>
        <sz val="9"/>
        <color rgb="FF404040"/>
        <rFont val="WenQuanYi Zen Hei"/>
        <family val="2"/>
      </rPr>
      <t xml:space="preserve">端样品，首批里的 </t>
    </r>
    <r>
      <rPr>
        <sz val="9"/>
        <color rgb="FF404040"/>
        <rFont val="Arial"/>
        <family val="0"/>
        <charset val="1"/>
      </rPr>
      <t xml:space="preserve">15 </t>
    </r>
    <r>
      <rPr>
        <sz val="9"/>
        <color rgb="FF404040"/>
        <rFont val="WenQuanYi Zen Hei"/>
        <family val="2"/>
      </rPr>
      <t xml:space="preserve">台样品可转回亚马逊销售，可卖数升到 </t>
    </r>
    <r>
      <rPr>
        <sz val="9"/>
        <color rgb="FF404040"/>
        <rFont val="Arial"/>
        <family val="0"/>
        <charset val="1"/>
      </rPr>
      <t xml:space="preserve">141 </t>
    </r>
    <r>
      <rPr>
        <sz val="9"/>
        <color rgb="FF404040"/>
        <rFont val="WenQuanYi Zen Hei"/>
        <family val="2"/>
      </rPr>
      <t xml:space="preserve">台。</t>
    </r>
  </si>
  <si>
    <t xml:space="preserve">按颜色汇总</t>
  </si>
  <si>
    <r>
      <rPr>
        <sz val="9"/>
        <color rgb="FF595959"/>
        <rFont val="WenQuanYi Zen Hei"/>
        <family val="2"/>
      </rPr>
      <t xml:space="preserve">公式引用“颜色备货建议”表。原订单不含冰吧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WenQuanYi Zen Hei"/>
        <family val="2"/>
      </rPr>
      <t xml:space="preserve">款（未分颜色）。单位：台。</t>
    </r>
  </si>
  <si>
    <r>
      <rPr>
        <b val="true"/>
        <sz val="10"/>
        <color rgb="FFFFFFFF"/>
        <rFont val="WenQuanYi Zen Hei"/>
        <family val="2"/>
      </rPr>
      <t xml:space="preserve">原订单（不含冰吧 </t>
    </r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款）</t>
    </r>
  </si>
  <si>
    <t xml:space="preserve">建议备货</t>
  </si>
  <si>
    <t xml:space="preserve">建议占比</t>
  </si>
  <si>
    <t xml:space="preserve">合计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</si>
</sst>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\+#,##0;\-#,##0;\-"/>
    <numFmt numFmtId="167" formatCode="0.0%;\-0.0%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3"/>
      <color rgb="FF1F3864"/>
      <name val="WenQuanYi Zen Hei"/>
      <family val="2"/>
    </font>
    <font>
      <sz val="9"/>
      <color rgb="FF595959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color rgb="FF0000FF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404040"/>
      <name val="WenQuanYi Zen Hei"/>
      <family val="2"/>
    </font>
    <font>
      <sz val="10"/>
      <name val="Arial"/>
      <family val="2"/>
    </font>
    <font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8EEF4"/>
        <bgColor rgb="FFD9E1F2"/>
      </patternFill>
    </fill>
    <fill>
      <patternFill patternType="solid">
        <fgColor rgb="FFD9E1F2"/>
        <bgColor rgb="FFE8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EEF4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11" min="9" style="0" width="10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5" t="n">
        <v>1</v>
      </c>
      <c r="B5" s="5" t="s">
        <v>14</v>
      </c>
      <c r="C5" s="6" t="s">
        <v>15</v>
      </c>
      <c r="D5" s="5" t="s">
        <v>16</v>
      </c>
      <c r="E5" s="7" t="n">
        <v>12</v>
      </c>
      <c r="F5" s="7" t="n">
        <v>20</v>
      </c>
      <c r="G5" s="8" t="n">
        <f aca="false">F5-E5</f>
        <v>8</v>
      </c>
      <c r="H5" s="9" t="n">
        <f aca="false">F5-I5-J5-K5</f>
        <v>13</v>
      </c>
      <c r="I5" s="7" t="n">
        <v>4</v>
      </c>
      <c r="J5" s="7" t="n">
        <v>2</v>
      </c>
      <c r="K5" s="7" t="n">
        <v>1</v>
      </c>
      <c r="L5" s="10" t="s">
        <v>17</v>
      </c>
    </row>
    <row r="6" customFormat="false" ht="15" hidden="false" customHeight="false" outlineLevel="0" collapsed="false">
      <c r="A6" s="5" t="n">
        <v>2</v>
      </c>
      <c r="B6" s="5" t="s">
        <v>14</v>
      </c>
      <c r="C6" s="6" t="s">
        <v>18</v>
      </c>
      <c r="D6" s="5"/>
      <c r="E6" s="7" t="n">
        <v>10</v>
      </c>
      <c r="F6" s="7" t="n">
        <v>5</v>
      </c>
      <c r="G6" s="8" t="n">
        <f aca="false">F6-E6</f>
        <v>-5</v>
      </c>
      <c r="H6" s="9" t="n">
        <f aca="false">F6-I6-J6-K6</f>
        <v>5</v>
      </c>
      <c r="I6" s="7" t="n">
        <v>0</v>
      </c>
      <c r="J6" s="7" t="n">
        <v>0</v>
      </c>
      <c r="K6" s="7" t="n">
        <v>0</v>
      </c>
      <c r="L6" s="10" t="s">
        <v>19</v>
      </c>
    </row>
    <row r="7" customFormat="false" ht="15" hidden="false" customHeight="false" outlineLevel="0" collapsed="false">
      <c r="A7" s="5" t="n">
        <v>3</v>
      </c>
      <c r="B7" s="5" t="s">
        <v>14</v>
      </c>
      <c r="C7" s="6" t="s">
        <v>20</v>
      </c>
      <c r="D7" s="5" t="s">
        <v>21</v>
      </c>
      <c r="E7" s="7" t="n">
        <v>3</v>
      </c>
      <c r="F7" s="7" t="n">
        <v>3</v>
      </c>
      <c r="G7" s="8" t="n">
        <f aca="false">F7-E7</f>
        <v>0</v>
      </c>
      <c r="H7" s="9" t="n">
        <f aca="false">F7-I7-J7-K7</f>
        <v>3</v>
      </c>
      <c r="I7" s="7" t="n">
        <v>0</v>
      </c>
      <c r="J7" s="7" t="n">
        <v>0</v>
      </c>
      <c r="K7" s="7" t="n">
        <v>0</v>
      </c>
      <c r="L7" s="10" t="s">
        <v>22</v>
      </c>
    </row>
    <row r="8" customFormat="false" ht="15" hidden="false" customHeight="false" outlineLevel="0" collapsed="false">
      <c r="A8" s="5" t="n">
        <v>4</v>
      </c>
      <c r="B8" s="5" t="s">
        <v>14</v>
      </c>
      <c r="C8" s="6" t="s">
        <v>23</v>
      </c>
      <c r="D8" s="5" t="s">
        <v>24</v>
      </c>
      <c r="E8" s="7" t="n">
        <v>15</v>
      </c>
      <c r="F8" s="7" t="n">
        <v>12</v>
      </c>
      <c r="G8" s="8" t="n">
        <f aca="false">F8-E8</f>
        <v>-3</v>
      </c>
      <c r="H8" s="9" t="n">
        <f aca="false">F8-I8-J8-K8</f>
        <v>9</v>
      </c>
      <c r="I8" s="7" t="n">
        <v>2</v>
      </c>
      <c r="J8" s="7" t="n">
        <v>1</v>
      </c>
      <c r="K8" s="7" t="n">
        <v>0</v>
      </c>
      <c r="L8" s="10" t="s">
        <v>25</v>
      </c>
    </row>
    <row r="9" customFormat="false" ht="15" hidden="false" customHeight="false" outlineLevel="0" collapsed="false">
      <c r="A9" s="11"/>
      <c r="B9" s="11" t="s">
        <v>26</v>
      </c>
      <c r="C9" s="11"/>
      <c r="D9" s="11"/>
      <c r="E9" s="12" t="n">
        <f aca="false">SUM(E5:E8)</f>
        <v>40</v>
      </c>
      <c r="F9" s="12" t="n">
        <f aca="false">SUM(F5:F8)</f>
        <v>40</v>
      </c>
      <c r="G9" s="13" t="n">
        <f aca="false">F9-E9</f>
        <v>0</v>
      </c>
      <c r="H9" s="12" t="n">
        <f aca="false">SUM(H5:H8)</f>
        <v>30</v>
      </c>
      <c r="I9" s="12" t="n">
        <f aca="false">SUM(I5:I8)</f>
        <v>6</v>
      </c>
      <c r="J9" s="12" t="n">
        <f aca="false">SUM(J5:J8)</f>
        <v>3</v>
      </c>
      <c r="K9" s="12" t="n">
        <f aca="false">SUM(K5:K8)</f>
        <v>1</v>
      </c>
      <c r="L9" s="14" t="s">
        <v>27</v>
      </c>
    </row>
    <row r="10" customFormat="false" ht="15" hidden="false" customHeight="false" outlineLevel="0" collapsed="false">
      <c r="A10" s="5" t="n">
        <v>5</v>
      </c>
      <c r="B10" s="6" t="s">
        <v>28</v>
      </c>
      <c r="C10" s="6" t="s">
        <v>15</v>
      </c>
      <c r="D10" s="5" t="s">
        <v>29</v>
      </c>
      <c r="E10" s="7" t="n">
        <v>14</v>
      </c>
      <c r="F10" s="7" t="n">
        <v>23</v>
      </c>
      <c r="G10" s="8" t="n">
        <f aca="false">F10-E10</f>
        <v>9</v>
      </c>
      <c r="H10" s="9" t="n">
        <f aca="false">F10-I10-J10-K10</f>
        <v>16</v>
      </c>
      <c r="I10" s="7" t="n">
        <v>4</v>
      </c>
      <c r="J10" s="7" t="n">
        <v>2</v>
      </c>
      <c r="K10" s="7" t="n">
        <v>1</v>
      </c>
      <c r="L10" s="10" t="s">
        <v>17</v>
      </c>
    </row>
    <row r="11" customFormat="false" ht="15" hidden="false" customHeight="false" outlineLevel="0" collapsed="false">
      <c r="A11" s="5" t="n">
        <v>6</v>
      </c>
      <c r="B11" s="6" t="s">
        <v>28</v>
      </c>
      <c r="C11" s="6" t="s">
        <v>18</v>
      </c>
      <c r="D11" s="5"/>
      <c r="E11" s="7" t="n">
        <v>12</v>
      </c>
      <c r="F11" s="7" t="n">
        <v>6</v>
      </c>
      <c r="G11" s="8" t="n">
        <f aca="false">F11-E11</f>
        <v>-6</v>
      </c>
      <c r="H11" s="9" t="n">
        <f aca="false">F11-I11-J11-K11</f>
        <v>6</v>
      </c>
      <c r="I11" s="7" t="n">
        <v>0</v>
      </c>
      <c r="J11" s="7" t="n">
        <v>0</v>
      </c>
      <c r="K11" s="7" t="n">
        <v>0</v>
      </c>
      <c r="L11" s="10" t="s">
        <v>19</v>
      </c>
    </row>
    <row r="12" customFormat="false" ht="15" hidden="false" customHeight="false" outlineLevel="0" collapsed="false">
      <c r="A12" s="5" t="n">
        <v>7</v>
      </c>
      <c r="B12" s="6" t="s">
        <v>28</v>
      </c>
      <c r="C12" s="6" t="s">
        <v>20</v>
      </c>
      <c r="D12" s="5" t="s">
        <v>30</v>
      </c>
      <c r="E12" s="7" t="n">
        <v>4</v>
      </c>
      <c r="F12" s="7" t="n">
        <v>3</v>
      </c>
      <c r="G12" s="8" t="n">
        <f aca="false">F12-E12</f>
        <v>-1</v>
      </c>
      <c r="H12" s="9" t="n">
        <f aca="false">F12-I12-J12-K12</f>
        <v>3</v>
      </c>
      <c r="I12" s="7" t="n">
        <v>0</v>
      </c>
      <c r="J12" s="7" t="n">
        <v>0</v>
      </c>
      <c r="K12" s="7" t="n">
        <v>0</v>
      </c>
      <c r="L12" s="10" t="s">
        <v>22</v>
      </c>
    </row>
    <row r="13" customFormat="false" ht="15" hidden="false" customHeight="false" outlineLevel="0" collapsed="false">
      <c r="A13" s="5" t="n">
        <v>8</v>
      </c>
      <c r="B13" s="6" t="s">
        <v>28</v>
      </c>
      <c r="C13" s="6" t="s">
        <v>23</v>
      </c>
      <c r="D13" s="5" t="s">
        <v>31</v>
      </c>
      <c r="E13" s="7" t="n">
        <v>16</v>
      </c>
      <c r="F13" s="7" t="n">
        <v>14</v>
      </c>
      <c r="G13" s="8" t="n">
        <f aca="false">F13-E13</f>
        <v>-2</v>
      </c>
      <c r="H13" s="9" t="n">
        <f aca="false">F13-I13-J13-K13</f>
        <v>11</v>
      </c>
      <c r="I13" s="7" t="n">
        <v>2</v>
      </c>
      <c r="J13" s="7" t="n">
        <v>1</v>
      </c>
      <c r="K13" s="7" t="n">
        <v>0</v>
      </c>
      <c r="L13" s="10" t="s">
        <v>25</v>
      </c>
    </row>
    <row r="14" customFormat="false" ht="15" hidden="false" customHeight="false" outlineLevel="0" collapsed="false">
      <c r="A14" s="11"/>
      <c r="B14" s="15" t="s">
        <v>32</v>
      </c>
      <c r="C14" s="11"/>
      <c r="D14" s="11"/>
      <c r="E14" s="12" t="n">
        <f aca="false">SUM(E10:E13)</f>
        <v>46</v>
      </c>
      <c r="F14" s="12" t="n">
        <f aca="false">SUM(F10:F13)</f>
        <v>46</v>
      </c>
      <c r="G14" s="13" t="n">
        <f aca="false">F14-E14</f>
        <v>0</v>
      </c>
      <c r="H14" s="12" t="n">
        <f aca="false">SUM(H10:H13)</f>
        <v>36</v>
      </c>
      <c r="I14" s="12" t="n">
        <f aca="false">SUM(I10:I13)</f>
        <v>6</v>
      </c>
      <c r="J14" s="12" t="n">
        <f aca="false">SUM(J10:J13)</f>
        <v>3</v>
      </c>
      <c r="K14" s="12" t="n">
        <f aca="false">SUM(K10:K13)</f>
        <v>1</v>
      </c>
      <c r="L14" s="14" t="s">
        <v>27</v>
      </c>
    </row>
    <row r="15" customFormat="false" ht="15" hidden="false" customHeight="false" outlineLevel="0" collapsed="false">
      <c r="A15" s="5" t="n">
        <v>9</v>
      </c>
      <c r="B15" s="6" t="s">
        <v>33</v>
      </c>
      <c r="C15" s="6" t="s">
        <v>15</v>
      </c>
      <c r="D15" s="5"/>
      <c r="E15" s="7"/>
      <c r="F15" s="7" t="n">
        <v>13</v>
      </c>
      <c r="G15" s="8"/>
      <c r="H15" s="9" t="n">
        <f aca="false">F15-I15-J15-K15</f>
        <v>8</v>
      </c>
      <c r="I15" s="7" t="n">
        <v>3</v>
      </c>
      <c r="J15" s="7" t="n">
        <v>1</v>
      </c>
      <c r="K15" s="7" t="n">
        <v>1</v>
      </c>
      <c r="L15" s="10" t="s">
        <v>34</v>
      </c>
    </row>
    <row r="16" customFormat="false" ht="15" hidden="false" customHeight="false" outlineLevel="0" collapsed="false">
      <c r="A16" s="5" t="n">
        <v>10</v>
      </c>
      <c r="B16" s="6" t="s">
        <v>33</v>
      </c>
      <c r="C16" s="6" t="s">
        <v>18</v>
      </c>
      <c r="D16" s="5"/>
      <c r="E16" s="7"/>
      <c r="F16" s="7" t="n">
        <v>0</v>
      </c>
      <c r="G16" s="8"/>
      <c r="H16" s="9" t="n">
        <f aca="false">F16-I16-J16-K16</f>
        <v>0</v>
      </c>
      <c r="I16" s="7" t="n">
        <v>0</v>
      </c>
      <c r="J16" s="7" t="n">
        <v>0</v>
      </c>
      <c r="K16" s="7" t="n">
        <v>0</v>
      </c>
      <c r="L16" s="10" t="s">
        <v>35</v>
      </c>
    </row>
    <row r="17" customFormat="false" ht="15" hidden="false" customHeight="false" outlineLevel="0" collapsed="false">
      <c r="A17" s="5" t="n">
        <v>11</v>
      </c>
      <c r="B17" s="6" t="s">
        <v>33</v>
      </c>
      <c r="C17" s="6" t="s">
        <v>20</v>
      </c>
      <c r="D17" s="5"/>
      <c r="E17" s="7"/>
      <c r="F17" s="7" t="n">
        <v>0</v>
      </c>
      <c r="G17" s="8"/>
      <c r="H17" s="9" t="n">
        <f aca="false">F17-I17-J17-K17</f>
        <v>0</v>
      </c>
      <c r="I17" s="7" t="n">
        <v>0</v>
      </c>
      <c r="J17" s="7" t="n">
        <v>0</v>
      </c>
      <c r="K17" s="7" t="n">
        <v>0</v>
      </c>
      <c r="L17" s="10" t="s">
        <v>35</v>
      </c>
    </row>
    <row r="18" customFormat="false" ht="15" hidden="false" customHeight="false" outlineLevel="0" collapsed="false">
      <c r="A18" s="5" t="n">
        <v>12</v>
      </c>
      <c r="B18" s="6" t="s">
        <v>33</v>
      </c>
      <c r="C18" s="6" t="s">
        <v>23</v>
      </c>
      <c r="D18" s="5"/>
      <c r="E18" s="7"/>
      <c r="F18" s="7" t="n">
        <v>7</v>
      </c>
      <c r="G18" s="8"/>
      <c r="H18" s="9" t="n">
        <f aca="false">F18-I18-J18-K18</f>
        <v>5</v>
      </c>
      <c r="I18" s="7" t="n">
        <v>1</v>
      </c>
      <c r="J18" s="7" t="n">
        <v>1</v>
      </c>
      <c r="K18" s="7" t="n">
        <v>0</v>
      </c>
      <c r="L18" s="10" t="s">
        <v>36</v>
      </c>
    </row>
    <row r="19" customFormat="false" ht="15" hidden="false" customHeight="false" outlineLevel="0" collapsed="false">
      <c r="A19" s="11"/>
      <c r="B19" s="15" t="s">
        <v>37</v>
      </c>
      <c r="C19" s="11"/>
      <c r="D19" s="11"/>
      <c r="E19" s="16" t="n">
        <v>20</v>
      </c>
      <c r="F19" s="12" t="n">
        <f aca="false">SUM(F15:F18)</f>
        <v>20</v>
      </c>
      <c r="G19" s="13" t="n">
        <f aca="false">F19-E19</f>
        <v>0</v>
      </c>
      <c r="H19" s="12" t="n">
        <f aca="false">SUM(H15:H18)</f>
        <v>13</v>
      </c>
      <c r="I19" s="12" t="n">
        <f aca="false">SUM(I15:I18)</f>
        <v>4</v>
      </c>
      <c r="J19" s="12" t="n">
        <f aca="false">SUM(J15:J18)</f>
        <v>2</v>
      </c>
      <c r="K19" s="12" t="n">
        <f aca="false">SUM(K15:K18)</f>
        <v>1</v>
      </c>
      <c r="L19" s="14" t="s">
        <v>27</v>
      </c>
    </row>
    <row r="20" customFormat="false" ht="15" hidden="false" customHeight="false" outlineLevel="0" collapsed="false">
      <c r="A20" s="5" t="n">
        <v>13</v>
      </c>
      <c r="B20" s="6" t="s">
        <v>38</v>
      </c>
      <c r="C20" s="6" t="s">
        <v>15</v>
      </c>
      <c r="D20" s="5"/>
      <c r="E20" s="7" t="n">
        <v>8</v>
      </c>
      <c r="F20" s="7" t="n">
        <v>15</v>
      </c>
      <c r="G20" s="8" t="n">
        <f aca="false">F20-E20</f>
        <v>7</v>
      </c>
      <c r="H20" s="9" t="n">
        <f aca="false">F20-I20-J20-K20</f>
        <v>8</v>
      </c>
      <c r="I20" s="7" t="n">
        <v>4</v>
      </c>
      <c r="J20" s="7" t="n">
        <v>2</v>
      </c>
      <c r="K20" s="7" t="n">
        <v>1</v>
      </c>
      <c r="L20" s="10" t="s">
        <v>17</v>
      </c>
    </row>
    <row r="21" customFormat="false" ht="15" hidden="false" customHeight="false" outlineLevel="0" collapsed="false">
      <c r="A21" s="5" t="n">
        <v>14</v>
      </c>
      <c r="B21" s="6" t="s">
        <v>38</v>
      </c>
      <c r="C21" s="6" t="s">
        <v>18</v>
      </c>
      <c r="D21" s="5"/>
      <c r="E21" s="7" t="n">
        <v>8</v>
      </c>
      <c r="F21" s="7" t="n">
        <v>3</v>
      </c>
      <c r="G21" s="8" t="n">
        <f aca="false">F21-E21</f>
        <v>-5</v>
      </c>
      <c r="H21" s="9" t="n">
        <f aca="false">F21-I21-J21-K21</f>
        <v>3</v>
      </c>
      <c r="I21" s="7" t="n">
        <v>0</v>
      </c>
      <c r="J21" s="7" t="n">
        <v>0</v>
      </c>
      <c r="K21" s="7" t="n">
        <v>0</v>
      </c>
      <c r="L21" s="10" t="s">
        <v>19</v>
      </c>
    </row>
    <row r="22" customFormat="false" ht="15" hidden="false" customHeight="false" outlineLevel="0" collapsed="false">
      <c r="A22" s="5" t="n">
        <v>15</v>
      </c>
      <c r="B22" s="6" t="s">
        <v>38</v>
      </c>
      <c r="C22" s="6" t="s">
        <v>20</v>
      </c>
      <c r="D22" s="5"/>
      <c r="E22" s="7" t="n">
        <v>8</v>
      </c>
      <c r="F22" s="7" t="n">
        <v>3</v>
      </c>
      <c r="G22" s="8" t="n">
        <f aca="false">F22-E22</f>
        <v>-5</v>
      </c>
      <c r="H22" s="9" t="n">
        <f aca="false">F22-I22-J22-K22</f>
        <v>3</v>
      </c>
      <c r="I22" s="7" t="n">
        <v>0</v>
      </c>
      <c r="J22" s="7" t="n">
        <v>0</v>
      </c>
      <c r="K22" s="7" t="n">
        <v>0</v>
      </c>
      <c r="L22" s="10" t="s">
        <v>22</v>
      </c>
    </row>
    <row r="23" customFormat="false" ht="15" hidden="false" customHeight="false" outlineLevel="0" collapsed="false">
      <c r="A23" s="5" t="n">
        <v>16</v>
      </c>
      <c r="B23" s="6" t="s">
        <v>38</v>
      </c>
      <c r="C23" s="6" t="s">
        <v>23</v>
      </c>
      <c r="D23" s="5"/>
      <c r="E23" s="7" t="n">
        <v>6</v>
      </c>
      <c r="F23" s="7" t="n">
        <v>9</v>
      </c>
      <c r="G23" s="8" t="n">
        <f aca="false">F23-E23</f>
        <v>3</v>
      </c>
      <c r="H23" s="9" t="n">
        <f aca="false">F23-I23-J23-K23</f>
        <v>6</v>
      </c>
      <c r="I23" s="7" t="n">
        <v>2</v>
      </c>
      <c r="J23" s="7" t="n">
        <v>1</v>
      </c>
      <c r="K23" s="7" t="n">
        <v>0</v>
      </c>
      <c r="L23" s="10" t="s">
        <v>39</v>
      </c>
    </row>
    <row r="24" customFormat="false" ht="15" hidden="false" customHeight="false" outlineLevel="0" collapsed="false">
      <c r="A24" s="11"/>
      <c r="B24" s="15" t="s">
        <v>40</v>
      </c>
      <c r="C24" s="11"/>
      <c r="D24" s="11"/>
      <c r="E24" s="12" t="n">
        <f aca="false">SUM(E20:E23)</f>
        <v>30</v>
      </c>
      <c r="F24" s="12" t="n">
        <f aca="false">SUM(F20:F23)</f>
        <v>30</v>
      </c>
      <c r="G24" s="13" t="n">
        <f aca="false">F24-E24</f>
        <v>0</v>
      </c>
      <c r="H24" s="12" t="n">
        <f aca="false">SUM(H20:H23)</f>
        <v>20</v>
      </c>
      <c r="I24" s="12" t="n">
        <f aca="false">SUM(I20:I23)</f>
        <v>6</v>
      </c>
      <c r="J24" s="12" t="n">
        <f aca="false">SUM(J20:J23)</f>
        <v>3</v>
      </c>
      <c r="K24" s="12" t="n">
        <f aca="false">SUM(K20:K23)</f>
        <v>1</v>
      </c>
      <c r="L24" s="14" t="s">
        <v>27</v>
      </c>
    </row>
    <row r="25" customFormat="false" ht="15" hidden="false" customHeight="false" outlineLevel="0" collapsed="false">
      <c r="A25" s="5" t="n">
        <v>17</v>
      </c>
      <c r="B25" s="6" t="s">
        <v>41</v>
      </c>
      <c r="C25" s="6" t="s">
        <v>15</v>
      </c>
      <c r="D25" s="5"/>
      <c r="E25" s="7" t="n">
        <v>10</v>
      </c>
      <c r="F25" s="7" t="n">
        <v>18</v>
      </c>
      <c r="G25" s="8" t="n">
        <f aca="false">F25-E25</f>
        <v>8</v>
      </c>
      <c r="H25" s="9" t="n">
        <f aca="false">F25-I25-J25-K25</f>
        <v>10</v>
      </c>
      <c r="I25" s="7" t="n">
        <v>5</v>
      </c>
      <c r="J25" s="7" t="n">
        <v>2</v>
      </c>
      <c r="K25" s="7" t="n">
        <v>1</v>
      </c>
      <c r="L25" s="10" t="s">
        <v>17</v>
      </c>
    </row>
    <row r="26" customFormat="false" ht="15" hidden="false" customHeight="false" outlineLevel="0" collapsed="false">
      <c r="A26" s="5" t="n">
        <v>18</v>
      </c>
      <c r="B26" s="6" t="s">
        <v>41</v>
      </c>
      <c r="C26" s="6" t="s">
        <v>18</v>
      </c>
      <c r="D26" s="5"/>
      <c r="E26" s="7" t="n">
        <v>10</v>
      </c>
      <c r="F26" s="7" t="n">
        <v>5</v>
      </c>
      <c r="G26" s="8" t="n">
        <f aca="false">F26-E26</f>
        <v>-5</v>
      </c>
      <c r="H26" s="9" t="n">
        <f aca="false">F26-I26-J26-K26</f>
        <v>5</v>
      </c>
      <c r="I26" s="7" t="n">
        <v>0</v>
      </c>
      <c r="J26" s="7" t="n">
        <v>0</v>
      </c>
      <c r="K26" s="7" t="n">
        <v>0</v>
      </c>
      <c r="L26" s="10" t="s">
        <v>19</v>
      </c>
    </row>
    <row r="27" customFormat="false" ht="15" hidden="false" customHeight="false" outlineLevel="0" collapsed="false">
      <c r="A27" s="5" t="n">
        <v>19</v>
      </c>
      <c r="B27" s="6" t="s">
        <v>41</v>
      </c>
      <c r="C27" s="6" t="s">
        <v>20</v>
      </c>
      <c r="D27" s="5"/>
      <c r="E27" s="7" t="n">
        <v>10</v>
      </c>
      <c r="F27" s="7" t="n">
        <v>5</v>
      </c>
      <c r="G27" s="8" t="n">
        <f aca="false">F27-E27</f>
        <v>-5</v>
      </c>
      <c r="H27" s="9" t="n">
        <f aca="false">F27-I27-J27-K27</f>
        <v>5</v>
      </c>
      <c r="I27" s="7" t="n">
        <v>0</v>
      </c>
      <c r="J27" s="7" t="n">
        <v>0</v>
      </c>
      <c r="K27" s="7" t="n">
        <v>0</v>
      </c>
      <c r="L27" s="10" t="s">
        <v>42</v>
      </c>
    </row>
    <row r="28" customFormat="false" ht="15" hidden="false" customHeight="false" outlineLevel="0" collapsed="false">
      <c r="A28" s="5" t="n">
        <v>20</v>
      </c>
      <c r="B28" s="6" t="s">
        <v>41</v>
      </c>
      <c r="C28" s="6" t="s">
        <v>23</v>
      </c>
      <c r="D28" s="5"/>
      <c r="E28" s="7" t="n">
        <v>10</v>
      </c>
      <c r="F28" s="7" t="n">
        <v>12</v>
      </c>
      <c r="G28" s="8" t="n">
        <f aca="false">F28-E28</f>
        <v>2</v>
      </c>
      <c r="H28" s="9" t="n">
        <f aca="false">F28-I28-J28-K28</f>
        <v>7</v>
      </c>
      <c r="I28" s="7" t="n">
        <v>3</v>
      </c>
      <c r="J28" s="7" t="n">
        <v>2</v>
      </c>
      <c r="K28" s="7" t="n">
        <v>0</v>
      </c>
      <c r="L28" s="10" t="s">
        <v>39</v>
      </c>
    </row>
    <row r="29" customFormat="false" ht="15" hidden="false" customHeight="false" outlineLevel="0" collapsed="false">
      <c r="A29" s="11"/>
      <c r="B29" s="15" t="s">
        <v>43</v>
      </c>
      <c r="C29" s="11"/>
      <c r="D29" s="11"/>
      <c r="E29" s="12" t="n">
        <f aca="false">SUM(E25:E28)</f>
        <v>40</v>
      </c>
      <c r="F29" s="12" t="n">
        <f aca="false">SUM(F25:F28)</f>
        <v>40</v>
      </c>
      <c r="G29" s="13" t="n">
        <f aca="false">F29-E29</f>
        <v>0</v>
      </c>
      <c r="H29" s="12" t="n">
        <f aca="false">SUM(H25:H28)</f>
        <v>27</v>
      </c>
      <c r="I29" s="12" t="n">
        <f aca="false">SUM(I25:I28)</f>
        <v>8</v>
      </c>
      <c r="J29" s="12" t="n">
        <f aca="false">SUM(J25:J28)</f>
        <v>4</v>
      </c>
      <c r="K29" s="12" t="n">
        <f aca="false">SUM(K25:K28)</f>
        <v>1</v>
      </c>
      <c r="L29" s="14" t="s">
        <v>27</v>
      </c>
    </row>
    <row r="30" customFormat="false" ht="15" hidden="false" customHeight="false" outlineLevel="0" collapsed="false">
      <c r="A30" s="17"/>
      <c r="B30" s="18" t="s">
        <v>44</v>
      </c>
      <c r="C30" s="17"/>
      <c r="D30" s="17"/>
      <c r="E30" s="19" t="n">
        <f aca="false">E9+E14+E19+E24+E29</f>
        <v>176</v>
      </c>
      <c r="F30" s="19" t="n">
        <f aca="false">F9+F14+F19+F24+F29</f>
        <v>176</v>
      </c>
      <c r="G30" s="20" t="n">
        <f aca="false">F30-E30</f>
        <v>0</v>
      </c>
      <c r="H30" s="19" t="n">
        <f aca="false">H9+H14+H19+H24+H29</f>
        <v>126</v>
      </c>
      <c r="I30" s="19" t="n">
        <f aca="false">I9+I14+I19+I24+I29</f>
        <v>30</v>
      </c>
      <c r="J30" s="19" t="n">
        <f aca="false">J9+J14+J19+J24+J29</f>
        <v>15</v>
      </c>
      <c r="K30" s="19" t="n">
        <f aca="false">K9+K14+K19+K24+K29</f>
        <v>5</v>
      </c>
      <c r="L30" s="21" t="str">
        <f aca="false">IF(F30=E30,"建议总数与原订单一致","建议总数与原订单不一致，请检查")</f>
        <v>建议总数与原订单一致</v>
      </c>
    </row>
    <row r="32" customFormat="false" ht="15" hidden="false" customHeight="true" outlineLevel="0" collapsed="false">
      <c r="A32" s="22" t="s">
        <v>45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customFormat="false" ht="15" hidden="false" customHeight="true" outlineLevel="0" collapsed="false">
      <c r="A33" s="23" t="s">
        <v>46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customFormat="false" ht="15" hidden="false" customHeight="true" outlineLevel="0" collapsed="false">
      <c r="A34" s="23" t="s">
        <v>47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customFormat="false" ht="15" hidden="false" customHeight="true" outlineLevel="0" collapsed="false">
      <c r="A35" s="23" t="s">
        <v>48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customFormat="false" ht="15" hidden="false" customHeight="true" outlineLevel="0" collapsed="false">
      <c r="A36" s="23" t="s">
        <v>49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customFormat="false" ht="15" hidden="false" customHeight="true" outlineLevel="0" collapsed="false">
      <c r="A37" s="23" t="s">
        <v>50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customFormat="false" ht="15" hidden="false" customHeight="true" outlineLevel="0" collapsed="false">
      <c r="A38" s="23" t="s">
        <v>51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</sheetData>
  <mergeCells count="7">
    <mergeCell ref="A32:L32"/>
    <mergeCell ref="A33:L33"/>
    <mergeCell ref="A34:L34"/>
    <mergeCell ref="A35:L35"/>
    <mergeCell ref="A36:L36"/>
    <mergeCell ref="A37:L37"/>
    <mergeCell ref="A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8" min="6" style="0" width="12"/>
  </cols>
  <sheetData>
    <row r="1" customFormat="false" ht="16.15" hidden="false" customHeight="false" outlineLevel="0" collapsed="false">
      <c r="A1" s="24" t="s">
        <v>52</v>
      </c>
    </row>
    <row r="2" customFormat="false" ht="15" hidden="false" customHeight="false" outlineLevel="0" collapsed="false">
      <c r="A2" s="2" t="s">
        <v>53</v>
      </c>
    </row>
    <row r="4" customFormat="false" ht="26.85" hidden="false" customHeight="false" outlineLevel="0" collapsed="false">
      <c r="A4" s="3" t="s">
        <v>4</v>
      </c>
      <c r="B4" s="3" t="s">
        <v>54</v>
      </c>
      <c r="C4" s="3" t="s">
        <v>55</v>
      </c>
      <c r="D4" s="3" t="s">
        <v>56</v>
      </c>
      <c r="E4" s="3" t="s">
        <v>9</v>
      </c>
      <c r="F4" s="4" t="s">
        <v>10</v>
      </c>
      <c r="G4" s="4" t="s">
        <v>11</v>
      </c>
      <c r="H4" s="3" t="s">
        <v>12</v>
      </c>
    </row>
    <row r="5" customFormat="false" ht="15" hidden="false" customHeight="false" outlineLevel="0" collapsed="false">
      <c r="A5" s="6" t="s">
        <v>15</v>
      </c>
      <c r="B5" s="9" t="n">
        <f aca="false">SUMIF(颜色备货建议!$C$5:$C$29,A5,颜色备货建议!$E$5:$E$29)</f>
        <v>44</v>
      </c>
      <c r="C5" s="9" t="n">
        <f aca="false">SUMIF(颜色备货建议!$C$5:$C$29,A5,颜色备货建议!$F$5:$F$29)</f>
        <v>89</v>
      </c>
      <c r="D5" s="25" t="n">
        <f aca="false">IF($C$9=0,0,C5/$C$9)</f>
        <v>0.505681818181818</v>
      </c>
      <c r="E5" s="9" t="n">
        <f aca="false">SUMIF(颜色备货建议!$C$5:$C$29,A5,颜色备货建议!$H$5:$H$29)</f>
        <v>55</v>
      </c>
      <c r="F5" s="9" t="n">
        <f aca="false">SUMIF(颜色备货建议!$C$5:$C$29,A5,颜色备货建议!$I$5:$I$29)</f>
        <v>20</v>
      </c>
      <c r="G5" s="9" t="n">
        <f aca="false">SUMIF(颜色备货建议!$C$5:$C$29,A5,颜色备货建议!$J$5:$J$29)</f>
        <v>9</v>
      </c>
      <c r="H5" s="9" t="n">
        <f aca="false">SUMIF(颜色备货建议!$C$5:$C$29,A5,颜色备货建议!$K$5:$K$29)</f>
        <v>5</v>
      </c>
    </row>
    <row r="6" customFormat="false" ht="15" hidden="false" customHeight="false" outlineLevel="0" collapsed="false">
      <c r="A6" s="6" t="s">
        <v>23</v>
      </c>
      <c r="B6" s="9" t="n">
        <f aca="false">SUMIF(颜色备货建议!$C$5:$C$29,A6,颜色备货建议!$E$5:$E$29)</f>
        <v>47</v>
      </c>
      <c r="C6" s="9" t="n">
        <f aca="false">SUMIF(颜色备货建议!$C$5:$C$29,A6,颜色备货建议!$F$5:$F$29)</f>
        <v>54</v>
      </c>
      <c r="D6" s="25" t="n">
        <f aca="false">IF($C$9=0,0,C6/$C$9)</f>
        <v>0.306818181818182</v>
      </c>
      <c r="E6" s="9" t="n">
        <f aca="false">SUMIF(颜色备货建议!$C$5:$C$29,A6,颜色备货建议!$H$5:$H$29)</f>
        <v>38</v>
      </c>
      <c r="F6" s="9" t="n">
        <f aca="false">SUMIF(颜色备货建议!$C$5:$C$29,A6,颜色备货建议!$I$5:$I$29)</f>
        <v>10</v>
      </c>
      <c r="G6" s="9" t="n">
        <f aca="false">SUMIF(颜色备货建议!$C$5:$C$29,A6,颜色备货建议!$J$5:$J$29)</f>
        <v>6</v>
      </c>
      <c r="H6" s="9" t="n">
        <f aca="false">SUMIF(颜色备货建议!$C$5:$C$29,A6,颜色备货建议!$K$5:$K$29)</f>
        <v>0</v>
      </c>
    </row>
    <row r="7" customFormat="false" ht="15" hidden="false" customHeight="false" outlineLevel="0" collapsed="false">
      <c r="A7" s="6" t="s">
        <v>18</v>
      </c>
      <c r="B7" s="9" t="n">
        <f aca="false">SUMIF(颜色备货建议!$C$5:$C$29,A7,颜色备货建议!$E$5:$E$29)</f>
        <v>40</v>
      </c>
      <c r="C7" s="9" t="n">
        <f aca="false">SUMIF(颜色备货建议!$C$5:$C$29,A7,颜色备货建议!$F$5:$F$29)</f>
        <v>19</v>
      </c>
      <c r="D7" s="25" t="n">
        <f aca="false">IF($C$9=0,0,C7/$C$9)</f>
        <v>0.107954545454545</v>
      </c>
      <c r="E7" s="9" t="n">
        <f aca="false">SUMIF(颜色备货建议!$C$5:$C$29,A7,颜色备货建议!$H$5:$H$29)</f>
        <v>19</v>
      </c>
      <c r="F7" s="9" t="n">
        <f aca="false">SUMIF(颜色备货建议!$C$5:$C$29,A7,颜色备货建议!$I$5:$I$29)</f>
        <v>0</v>
      </c>
      <c r="G7" s="9" t="n">
        <f aca="false">SUMIF(颜色备货建议!$C$5:$C$29,A7,颜色备货建议!$J$5:$J$29)</f>
        <v>0</v>
      </c>
      <c r="H7" s="9" t="n">
        <f aca="false">SUMIF(颜色备货建议!$C$5:$C$29,A7,颜色备货建议!$K$5:$K$29)</f>
        <v>0</v>
      </c>
    </row>
    <row r="8" customFormat="false" ht="15" hidden="false" customHeight="false" outlineLevel="0" collapsed="false">
      <c r="A8" s="6" t="s">
        <v>20</v>
      </c>
      <c r="B8" s="9" t="n">
        <f aca="false">SUMIF(颜色备货建议!$C$5:$C$29,A8,颜色备货建议!$E$5:$E$29)</f>
        <v>25</v>
      </c>
      <c r="C8" s="9" t="n">
        <f aca="false">SUMIF(颜色备货建议!$C$5:$C$29,A8,颜色备货建议!$F$5:$F$29)</f>
        <v>14</v>
      </c>
      <c r="D8" s="25" t="n">
        <f aca="false">IF($C$9=0,0,C8/$C$9)</f>
        <v>0.0795454545454545</v>
      </c>
      <c r="E8" s="9" t="n">
        <f aca="false">SUMIF(颜色备货建议!$C$5:$C$29,A8,颜色备货建议!$H$5:$H$29)</f>
        <v>14</v>
      </c>
      <c r="F8" s="9" t="n">
        <f aca="false">SUMIF(颜色备货建议!$C$5:$C$29,A8,颜色备货建议!$I$5:$I$29)</f>
        <v>0</v>
      </c>
      <c r="G8" s="9" t="n">
        <f aca="false">SUMIF(颜色备货建议!$C$5:$C$29,A8,颜色备货建议!$J$5:$J$29)</f>
        <v>0</v>
      </c>
      <c r="H8" s="9" t="n">
        <f aca="false">SUMIF(颜色备货建议!$C$5:$C$29,A8,颜色备货建议!$K$5:$K$29)</f>
        <v>0</v>
      </c>
    </row>
    <row r="9" customFormat="false" ht="15" hidden="false" customHeight="false" outlineLevel="0" collapsed="false">
      <c r="A9" s="18" t="s">
        <v>57</v>
      </c>
      <c r="B9" s="19" t="n">
        <f aca="false">SUM(B5:B8)</f>
        <v>156</v>
      </c>
      <c r="C9" s="19" t="n">
        <f aca="false">SUM(C5:C8)</f>
        <v>176</v>
      </c>
      <c r="D9" s="26" t="n">
        <f aca="false">IF($C$9=0,0,C9/$C$9)</f>
        <v>1</v>
      </c>
      <c r="E9" s="19" t="n">
        <f aca="false">SUM(E5:E8)</f>
        <v>126</v>
      </c>
      <c r="F9" s="19" t="n">
        <f aca="false">SUM(F5:F8)</f>
        <v>30</v>
      </c>
      <c r="G9" s="19" t="n">
        <f aca="false">SUM(G5:G8)</f>
        <v>15</v>
      </c>
      <c r="H9" s="19" t="n">
        <f aca="false">SUM(H5:H8)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2026-10-28T04:50:06Z</dcterms:created>
  <dc:creator>openpyxl</dc:creator>
  <dc:description/>
  <dc:language>en-US</dc:language>
  <cp:lastModifiedBy/>
  <dcterms:modified xsi:type="dcterms:W3CDTF">2026-10-28T04:50:06Z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